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q_by_specialty" sheetId="2" state="visible" r:id="rId2"/>
    <sheet xmlns:r="http://schemas.openxmlformats.org/officeDocument/2006/relationships" name="q_status" sheetId="3" state="visible" r:id="rId3"/>
    <sheet xmlns:r="http://schemas.openxmlformats.org/officeDocument/2006/relationships" name="q_by_specialty_2" sheetId="4" state="visible" r:id="rId4"/>
    <sheet xmlns:r="http://schemas.openxmlformats.org/officeDocument/2006/relationships" name="q_reminder" sheetId="5" state="visible" r:id="rId5"/>
    <sheet xmlns:r="http://schemas.openxmlformats.org/officeDocument/2006/relationships" name="q_lead_bands" sheetId="6" state="visible" r:id="rId6"/>
    <sheet xmlns:r="http://schemas.openxmlformats.org/officeDocument/2006/relationships" name="q_fill_sim" sheetId="7" state="visible" r:id="rId7"/>
    <sheet xmlns:r="http://schemas.openxmlformats.org/officeDocument/2006/relationships" name="q_by_hour" sheetId="8" state="visible" r:id="rId8"/>
    <sheet xmlns:r="http://schemas.openxmlformats.org/officeDocument/2006/relationships" name="q_time_block" sheetId="9" state="visible" r:id="rId9"/>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0F172A"/>
      <sz val="22"/>
    </font>
    <font>
      <name val="Calibri"/>
      <color rgb="00475569"/>
      <sz val="10"/>
    </font>
    <font>
      <b val="1"/>
      <color rgb="00475569"/>
      <sz val="7"/>
    </font>
    <font>
      <b val="1"/>
      <color rgb="000F172A"/>
      <sz val="16"/>
    </font>
    <font>
      <color rgb="00475569"/>
      <sz val="7"/>
    </font>
    <font>
      <b val="1"/>
      <color rgb="00B45309"/>
      <sz val="16"/>
    </font>
    <font>
      <b val="1"/>
      <color rgb="00B91C1C"/>
      <sz val="16"/>
    </font>
    <font>
      <b val="1"/>
      <color rgb="0015803D"/>
      <sz val="16"/>
    </font>
    <font>
      <b val="1"/>
    </font>
    <font>
      <color rgb="00475569"/>
      <sz val="8"/>
    </font>
    <font>
      <name val="Calibri"/>
      <b val="1"/>
      <color rgb="000F172A"/>
      <sz val="11"/>
    </font>
    <font>
      <name val="Calibri"/>
      <color rgb="00475569"/>
      <sz val="9"/>
    </font>
    <font>
      <name val="Calibri"/>
      <color rgb="00475569"/>
      <sz val="8"/>
    </font>
  </fonts>
  <fills count="4">
    <fill>
      <patternFill/>
    </fill>
    <fill>
      <patternFill patternType="gray125"/>
    </fill>
    <fill>
      <patternFill patternType="solid">
        <fgColor rgb="00F1F5F9"/>
      </patternFill>
    </fill>
    <fill>
      <patternFill patternType="solid">
        <fgColor rgb="00FFFF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6">
    <xf numFmtId="0" fontId="0" fillId="0" borderId="0" pivotButton="0" quotePrefix="0" xfId="0"/>
    <xf numFmtId="0" fontId="0" fillId="3" borderId="0" pivotButton="0" quotePrefix="0" xfId="0"/>
    <xf numFmtId="0" fontId="1" fillId="3" borderId="0" applyAlignment="1" pivotButton="0" quotePrefix="0" xfId="0">
      <alignment vertical="top" wrapText="1"/>
    </xf>
    <xf numFmtId="0" fontId="2" fillId="3" borderId="0" applyAlignment="1" pivotButton="0" quotePrefix="0" xfId="0">
      <alignment vertical="top" wrapText="1"/>
    </xf>
    <xf numFmtId="0" fontId="3" fillId="2" borderId="1" pivotButton="0" quotePrefix="0" xfId="0"/>
    <xf numFmtId="0" fontId="0" fillId="2" borderId="1" pivotButton="0" quotePrefix="0" xfId="0"/>
    <xf numFmtId="0" fontId="4" fillId="2" borderId="1" pivotButton="0" quotePrefix="0" xfId="0"/>
    <xf numFmtId="0" fontId="6" fillId="2" borderId="1" pivotButton="0" quotePrefix="0" xfId="0"/>
    <xf numFmtId="0" fontId="7" fillId="2" borderId="1" pivotButton="0" quotePrefix="0" xfId="0"/>
    <xf numFmtId="0" fontId="5" fillId="2" borderId="1" applyAlignment="1" pivotButton="0" quotePrefix="0" xfId="0">
      <alignment vertical="top" wrapText="1"/>
    </xf>
    <xf numFmtId="0" fontId="8" fillId="2" borderId="1" pivotButton="0" quotePrefix="0" xfId="0"/>
    <xf numFmtId="0" fontId="10" fillId="3" borderId="0" applyAlignment="1" pivotButton="0" quotePrefix="0" xfId="0">
      <alignment vertical="top" wrapText="1"/>
    </xf>
    <xf numFmtId="0" fontId="11" fillId="3" borderId="0" applyAlignment="1" pivotButton="0" quotePrefix="0" xfId="0">
      <alignment vertical="top" wrapText="1"/>
    </xf>
    <xf numFmtId="0" fontId="12" fillId="3" borderId="0" applyAlignment="1" pivotButton="0" quotePrefix="0" xfId="0">
      <alignment vertical="top" wrapText="1"/>
    </xf>
    <xf numFmtId="0" fontId="13" fillId="3" borderId="0" applyAlignment="1" pivotButton="0" quotePrefix="0" xfId="0">
      <alignment vertical="top" wrapText="1"/>
    </xf>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Lead time against each specialty's own access standard</a:t>
            </a:r>
          </a:p>
        </rich>
      </tx>
    </title>
    <plotArea>
      <barChart>
        <barDir val="col"/>
        <grouping val="clustered"/>
        <ser>
          <idx val="0"/>
          <order val="0"/>
          <tx>
            <strRef>
              <f>'q_by_specialty'!B1</f>
            </strRef>
          </tx>
          <spPr>
            <a:solidFill xmlns:a="http://schemas.openxmlformats.org/drawingml/2006/main">
              <a:srgbClr val="EF4444"/>
            </a:solidFill>
            <a:ln xmlns:a="http://schemas.openxmlformats.org/drawingml/2006/main">
              <a:noFill/>
              <a:prstDash val="solid"/>
            </a:ln>
          </spPr>
          <invertIfNegative val="0"/>
          <cat>
            <numRef>
              <f>'q_by_specialty'!$A$2:$A$7</f>
            </numRef>
          </cat>
          <val>
            <numRef>
              <f>'q_by_specialty'!$B$2:$B$7</f>
            </numRef>
          </val>
        </ser>
        <ser>
          <idx val="1"/>
          <order val="1"/>
          <tx>
            <strRef>
              <f>'q_by_specialty'!C1</f>
            </strRef>
          </tx>
          <spPr>
            <a:solidFill xmlns:a="http://schemas.openxmlformats.org/drawingml/2006/main">
              <a:srgbClr val="94A3B8"/>
            </a:solidFill>
            <a:ln xmlns:a="http://schemas.openxmlformats.org/drawingml/2006/main">
              <a:noFill/>
              <a:prstDash val="solid"/>
            </a:ln>
          </spPr>
          <invertIfNegative val="0"/>
          <cat>
            <numRef>
              <f>'q_by_specialty'!$A$2:$A$7</f>
            </numRef>
          </cat>
          <val>
            <numRef>
              <f>'q_by_specialty'!$C$2:$C$7</f>
            </numRef>
          </val>
        </ser>
        <gapWidth val="60"/>
        <axId val="10"/>
        <axId val="100"/>
      </barChart>
      <catAx>
        <axId val="10"/>
        <scaling>
          <orientation val="minMax"/>
        </scaling>
        <axPos val="l"/>
        <majorTickMark val="none"/>
        <minorTickMark val="none"/>
        <crossAx val="100"/>
        <crosses val="autoZero"/>
        <lblOffset val="100"/>
      </catAx>
      <valAx>
        <axId val="100"/>
        <scaling>
          <orientation val="minMax"/>
          <min val="0"/>
        </scaling>
        <axPos val="l"/>
        <majorGridlines/>
        <majorTickMark val="none"/>
        <minorTickMark val="none"/>
        <crossAx val="10"/>
        <crosses val="autoZero"/>
      </valAx>
    </plotArea>
    <legend>
      <legendPos val="b"/>
      <overlay val="0"/>
    </legend>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Appointment outcomes</a:t>
            </a:r>
          </a:p>
        </rich>
      </tx>
    </title>
    <plotArea>
      <doughnutChart>
        <varyColors val="1"/>
        <ser>
          <idx val="0"/>
          <order val="0"/>
          <tx>
            <strRef>
              <f>'q_status'!B1</f>
            </strRef>
          </tx>
          <spPr>
            <a:ln xmlns:a="http://schemas.openxmlformats.org/drawingml/2006/main">
              <a:prstDash val="solid"/>
            </a:ln>
          </spPr>
          <cat>
            <numRef>
              <f>'q_status'!$A$2:$A$5</f>
            </numRef>
          </cat>
          <val>
            <numRef>
              <f>'q_status'!$B$2:$B$5</f>
            </numRef>
          </val>
        </ser>
        <firstSliceAng val="0"/>
        <holeSize val="55"/>
      </doughnutChart>
    </plotArea>
    <legend>
      <legendPos val="b"/>
      <overlay val="0"/>
    </legend>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Compliance with access standard, by specialty</a:t>
            </a:r>
          </a:p>
        </rich>
      </tx>
    </title>
    <plotArea>
      <barChart>
        <barDir val="bar"/>
        <grouping val="clustered"/>
        <ser>
          <idx val="0"/>
          <order val="0"/>
          <tx>
            <strRef>
              <f>'q_by_specialty_2'!B1</f>
            </strRef>
          </tx>
          <spPr>
            <a:solidFill xmlns:a="http://schemas.openxmlformats.org/drawingml/2006/main">
              <a:srgbClr val="3B82F6"/>
            </a:solidFill>
            <a:ln xmlns:a="http://schemas.openxmlformats.org/drawingml/2006/main">
              <a:noFill/>
              <a:prstDash val="solid"/>
            </a:ln>
          </spPr>
          <invertIfNegative val="0"/>
          <cat>
            <numRef>
              <f>'q_by_specialty_2'!$A$2:$A$7</f>
            </numRef>
          </cat>
          <val>
            <numRef>
              <f>'q_by_specialty_2'!$B$2:$B$7</f>
            </numRef>
          </val>
        </ser>
        <gapWidth val="60"/>
        <axId val="10"/>
        <axId val="100"/>
      </barChart>
      <catAx>
        <axId val="10"/>
        <scaling>
          <orientation val="minMax"/>
        </scaling>
        <axPos val="l"/>
        <majorTickMark val="none"/>
        <minorTickMark val="none"/>
        <crossAx val="100"/>
        <crosses val="autoZero"/>
        <lblOffset val="100"/>
      </catAx>
      <valAx>
        <axId val="100"/>
        <scaling>
          <orientation val="minMax"/>
          <min val="0"/>
        </scaling>
        <axPos val="l"/>
        <majorGridlines/>
        <title>
          <tx>
            <rich>
              <a:bodyPr xmlns:a="http://schemas.openxmlformats.org/drawingml/2006/main"/>
              <a:p xmlns:a="http://schemas.openxmlformats.org/drawingml/2006/main">
                <a:pPr>
                  <a:defRPr/>
                </a:pPr>
                <a:r>
                  <a:t>Within standard %</a:t>
                </a:r>
              </a:p>
            </rich>
          </tx>
        </title>
        <majorTickMark val="none"/>
        <minorTickMark val="none"/>
        <crossAx val="10"/>
        <crosses val="autoZero"/>
      </valAx>
    </plotArea>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a:pPr>
            <a:r>
              <a:t>The reminder effect</a:t>
            </a:r>
          </a:p>
        </rich>
      </tx>
    </title>
    <plotArea>
      <barChart>
        <barDir val="col"/>
        <grouping val="clustered"/>
        <ser>
          <idx val="0"/>
          <order val="0"/>
          <tx>
            <strRef>
              <f>'q_reminder'!B1</f>
            </strRef>
          </tx>
          <spPr>
            <a:solidFill xmlns:a="http://schemas.openxmlformats.org/drawingml/2006/main">
              <a:srgbClr val="EF4444"/>
            </a:solidFill>
            <a:ln xmlns:a="http://schemas.openxmlformats.org/drawingml/2006/main">
              <a:noFill/>
              <a:prstDash val="solid"/>
            </a:ln>
          </spPr>
          <invertIfNegative val="0"/>
          <cat>
            <numRef>
              <f>'q_reminder'!$A$2:$A$3</f>
            </numRef>
          </cat>
          <val>
            <numRef>
              <f>'q_reminder'!$B$2:$B$3</f>
            </numRef>
          </val>
        </ser>
        <gapWidth val="60"/>
        <axId val="10"/>
        <axId val="100"/>
      </barChart>
      <catAx>
        <axId val="10"/>
        <scaling>
          <orientation val="minMax"/>
        </scaling>
        <axPos val="l"/>
        <majorTickMark val="none"/>
        <minorTickMark val="none"/>
        <crossAx val="100"/>
        <crosses val="autoZero"/>
        <lblOffset val="100"/>
      </catAx>
      <valAx>
        <axId val="100"/>
        <scaling>
          <orientation val="minMax"/>
          <min val="0"/>
        </scaling>
        <axPos val="l"/>
        <majorGridlines/>
        <title>
          <tx>
            <rich>
              <a:bodyPr xmlns:a="http://schemas.openxmlformats.org/drawingml/2006/main"/>
              <a:p xmlns:a="http://schemas.openxmlformats.org/drawingml/2006/main">
                <a:pPr>
                  <a:defRPr/>
                </a:pPr>
                <a:r>
                  <a:t>No-show rate %</a:t>
                </a:r>
              </a:p>
            </rich>
          </tx>
        </title>
        <majorTickMark val="none"/>
        <minorTickMark val="none"/>
        <crossAx val="10"/>
        <crosses val="autoZero"/>
      </valAx>
    </plotArea>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a:pPr>
            <a:r>
              <a:t>Longer waits, worse attendance</a:t>
            </a:r>
          </a:p>
        </rich>
      </tx>
    </title>
    <plotArea>
      <barChart>
        <barDir val="col"/>
        <grouping val="clustered"/>
        <ser>
          <idx val="0"/>
          <order val="0"/>
          <tx>
            <strRef>
              <f>'q_lead_bands'!B1</f>
            </strRef>
          </tx>
          <spPr>
            <a:solidFill xmlns:a="http://schemas.openxmlformats.org/drawingml/2006/main">
              <a:srgbClr val="EF4444"/>
            </a:solidFill>
            <a:ln xmlns:a="http://schemas.openxmlformats.org/drawingml/2006/main">
              <a:noFill/>
              <a:prstDash val="solid"/>
            </a:ln>
          </spPr>
          <invertIfNegative val="0"/>
          <cat>
            <numRef>
              <f>'q_lead_bands'!$A$2:$A$5</f>
            </numRef>
          </cat>
          <val>
            <numRef>
              <f>'q_lead_bands'!$B$2:$B$5</f>
            </numRef>
          </val>
        </ser>
        <ser>
          <idx val="1"/>
          <order val="1"/>
          <tx>
            <strRef>
              <f>'q_lead_bands'!C1</f>
            </strRef>
          </tx>
          <spPr>
            <a:solidFill xmlns:a="http://schemas.openxmlformats.org/drawingml/2006/main">
              <a:srgbClr val="F59E0B"/>
            </a:solidFill>
            <a:ln xmlns:a="http://schemas.openxmlformats.org/drawingml/2006/main">
              <a:noFill/>
              <a:prstDash val="solid"/>
            </a:ln>
          </spPr>
          <invertIfNegative val="0"/>
          <cat>
            <numRef>
              <f>'q_lead_bands'!$A$2:$A$5</f>
            </numRef>
          </cat>
          <val>
            <numRef>
              <f>'q_lead_bands'!$C$2:$C$5</f>
            </numRef>
          </val>
        </ser>
        <gapWidth val="60"/>
        <axId val="10"/>
        <axId val="100"/>
      </barChart>
      <catAx>
        <axId val="10"/>
        <scaling>
          <orientation val="minMax"/>
        </scaling>
        <axPos val="l"/>
        <majorTickMark val="none"/>
        <minorTickMark val="none"/>
        <crossAx val="100"/>
        <crosses val="autoZero"/>
        <lblOffset val="100"/>
      </catAx>
      <valAx>
        <axId val="100"/>
        <scaling>
          <orientation val="minMax"/>
          <min val="0"/>
        </scaling>
        <axPos val="l"/>
        <majorGridlines/>
        <majorTickMark val="none"/>
        <minorTickMark val="none"/>
        <crossAx val="10"/>
        <crosses val="autoZero"/>
      </valAx>
    </plotArea>
    <legend>
      <legendPos val="b"/>
      <overlay val="0"/>
    </legend>
    <plotVisOnly val="1"/>
    <dispBlanksAs val="gap"/>
  </chart>
</chartSpace>
</file>

<file path=xl/charts/chart6.xml><?xml version="1.0" encoding="utf-8"?>
<chartSpace xmlns="http://schemas.openxmlformats.org/drawingml/2006/chart">
  <style val="2"/>
  <chart>
    <title>
      <tx>
        <rich>
          <a:bodyPr xmlns:a="http://schemas.openxmlformats.org/drawingml/2006/main"/>
          <a:p xmlns:a="http://schemas.openxmlformats.org/drawingml/2006/main">
            <a:pPr>
              <a:defRPr/>
            </a:pPr>
            <a:r>
              <a:t>What refilling cancelled slots would actually buy</a:t>
            </a:r>
          </a:p>
        </rich>
      </tx>
    </title>
    <plotArea>
      <barChart>
        <barDir val="col"/>
        <grouping val="clustered"/>
        <ser>
          <idx val="0"/>
          <order val="0"/>
          <tx>
            <strRef>
              <f>'q_fill_sim'!B1</f>
            </strRef>
          </tx>
          <spPr>
            <a:solidFill xmlns:a="http://schemas.openxmlformats.org/drawingml/2006/main">
              <a:srgbClr val="22C55E"/>
            </a:solidFill>
            <a:ln xmlns:a="http://schemas.openxmlformats.org/drawingml/2006/main">
              <a:noFill/>
              <a:prstDash val="solid"/>
            </a:ln>
          </spPr>
          <invertIfNegative val="0"/>
          <cat>
            <numRef>
              <f>'q_fill_sim'!$A$2:$A$4</f>
            </numRef>
          </cat>
          <val>
            <numRef>
              <f>'q_fill_sim'!$B$2:$B$4</f>
            </numRef>
          </val>
        </ser>
        <gapWidth val="60"/>
        <axId val="10"/>
        <axId val="100"/>
      </barChart>
      <lineChart>
        <grouping val="standard"/>
        <ser>
          <idx val="1"/>
          <order val="1"/>
          <tx>
            <strRef>
              <f>'q_fill_sim'!C1</f>
            </strRef>
          </tx>
          <spPr>
            <a:ln xmlns:a="http://schemas.openxmlformats.org/drawingml/2006/main" w="26000">
              <a:solidFill>
                <a:srgbClr val="3B82F6"/>
              </a:solidFill>
              <a:prstDash val="solid"/>
            </a:ln>
          </spPr>
          <marker>
            <symbol val="none"/>
            <spPr>
              <a:ln xmlns:a="http://schemas.openxmlformats.org/drawingml/2006/main">
                <a:prstDash val="solid"/>
              </a:ln>
            </spPr>
          </marker>
          <cat>
            <numRef>
              <f>'q_fill_sim'!$A$2:$A$4</f>
            </numRef>
          </cat>
          <val>
            <numRef>
              <f>'q_fill_sim'!$C$2:$C$4</f>
            </numRef>
          </val>
          <smooth val="0"/>
        </ser>
        <axId val="10"/>
        <axId val="200"/>
      </lineChart>
      <catAx>
        <axId val="10"/>
        <scaling>
          <orientation val="minMax"/>
        </scaling>
        <axPos val="l"/>
        <majorTickMark val="none"/>
        <minorTickMark val="none"/>
        <crossAx val="100"/>
        <crosses val="autoZero"/>
        <lblOffset val="100"/>
      </catAx>
      <valAx>
        <axId val="100"/>
        <scaling>
          <orientation val="minMax"/>
          <min val="0"/>
        </scaling>
        <axPos val="l"/>
        <majorGridlines/>
        <title>
          <tx>
            <rich>
              <a:bodyPr xmlns:a="http://schemas.openxmlformats.org/drawingml/2006/main"/>
              <a:p xmlns:a="http://schemas.openxmlformats.org/drawingml/2006/main">
                <a:pPr>
                  <a:defRPr/>
                </a:pPr>
                <a:r>
                  <a:t>Slots recovered</a:t>
                </a:r>
              </a:p>
            </rich>
          </tx>
        </title>
        <majorTickMark val="none"/>
        <minorTickMark val="none"/>
        <crossAx val="10"/>
        <crosses val="autoZero"/>
      </valAx>
      <valAx>
        <axId val="200"/>
        <scaling>
          <orientation val="minMax"/>
        </scaling>
        <axPos val="l"/>
        <title>
          <tx>
            <rich>
              <a:bodyPr xmlns:a="http://schemas.openxmlformats.org/drawingml/2006/main"/>
              <a:p xmlns:a="http://schemas.openxmlformats.org/drawingml/2006/main">
                <a:pPr>
                  <a:defRPr/>
                </a:pPr>
                <a:r>
                  <a:t>% of completed</a:t>
                </a:r>
              </a:p>
            </rich>
          </tx>
        </title>
        <majorTickMark val="none"/>
        <minorTickMark val="none"/>
        <crossAx val="10"/>
        <crosses val="max"/>
      </valAx>
    </plotArea>
    <legend>
      <legendPos val="b"/>
      <overlay val="0"/>
    </legend>
    <plotVisOnly val="1"/>
    <dispBlanksAs val="gap"/>
  </chart>
</chartSpace>
</file>

<file path=xl/charts/chart7.xml><?xml version="1.0" encoding="utf-8"?>
<chartSpace xmlns="http://schemas.openxmlformats.org/drawingml/2006/chart">
  <style val="2"/>
  <chart>
    <title>
      <tx>
        <rich>
          <a:bodyPr xmlns:a="http://schemas.openxmlformats.org/drawingml/2006/main"/>
          <a:p xmlns:a="http://schemas.openxmlformats.org/drawingml/2006/main">
            <a:pPr>
              <a:defRPr/>
            </a:pPr>
            <a:r>
              <a:t>No-shows by time of day</a:t>
            </a:r>
          </a:p>
        </rich>
      </tx>
    </title>
    <plotArea>
      <lineChart>
        <grouping val="standard"/>
        <ser>
          <idx val="0"/>
          <order val="0"/>
          <tx>
            <strRef>
              <f>'q_by_hour'!B1</f>
            </strRef>
          </tx>
          <spPr>
            <a:ln xmlns:a="http://schemas.openxmlformats.org/drawingml/2006/main" w="26000">
              <a:solidFill>
                <a:srgbClr val="EF4444"/>
              </a:solidFill>
              <a:prstDash val="solid"/>
            </a:ln>
          </spPr>
          <marker>
            <symbol val="none"/>
            <spPr>
              <a:ln xmlns:a="http://schemas.openxmlformats.org/drawingml/2006/main">
                <a:prstDash val="solid"/>
              </a:ln>
            </spPr>
          </marker>
          <cat>
            <numRef>
              <f>'q_by_hour'!$A$2:$A$9</f>
            </numRef>
          </cat>
          <val>
            <numRef>
              <f>'q_by_hour'!$B$2:$B$9</f>
            </numRef>
          </val>
          <smooth val="0"/>
        </ser>
        <axId val="10"/>
        <axId val="100"/>
      </lineChart>
      <catAx>
        <axId val="10"/>
        <scaling>
          <orientation val="minMax"/>
        </scaling>
        <axPos val="l"/>
        <majorTickMark val="none"/>
        <minorTickMark val="none"/>
        <crossAx val="100"/>
        <crosses val="autoZero"/>
        <lblOffset val="100"/>
      </catAx>
      <valAx>
        <axId val="100"/>
        <scaling>
          <orientation val="minMax"/>
        </scaling>
        <axPos val="l"/>
        <majorGridlines/>
        <title>
          <tx>
            <rich>
              <a:bodyPr xmlns:a="http://schemas.openxmlformats.org/drawingml/2006/main"/>
              <a:p xmlns:a="http://schemas.openxmlformats.org/drawingml/2006/main">
                <a:pPr>
                  <a:defRPr/>
                </a:pPr>
                <a:r>
                  <a:t>No-show rate %</a:t>
                </a:r>
              </a:p>
            </rich>
          </tx>
        </title>
        <majorTickMark val="none"/>
        <minorTickMark val="none"/>
        <crossAx val="10"/>
        <crosses val="autoZero"/>
      </valAx>
    </plotArea>
    <plotVisOnly val="1"/>
    <dispBlanksAs val="gap"/>
  </chart>
</chartSpace>
</file>

<file path=xl/charts/chart8.xml><?xml version="1.0" encoding="utf-8"?>
<chartSpace xmlns="http://schemas.openxmlformats.org/drawingml/2006/chart">
  <style val="2"/>
  <chart>
    <title>
      <tx>
        <rich>
          <a:bodyPr xmlns:a="http://schemas.openxmlformats.org/drawingml/2006/main"/>
          <a:p xmlns:a="http://schemas.openxmlformats.org/drawingml/2006/main">
            <a:pPr>
              <a:defRPr/>
            </a:pPr>
            <a:r>
              <a:t>Time block performance</a:t>
            </a:r>
          </a:p>
        </rich>
      </tx>
    </title>
    <plotArea>
      <barChart>
        <barDir val="col"/>
        <grouping val="clustered"/>
        <ser>
          <idx val="0"/>
          <order val="0"/>
          <tx>
            <strRef>
              <f>'q_time_block'!B1</f>
            </strRef>
          </tx>
          <spPr>
            <a:solidFill xmlns:a="http://schemas.openxmlformats.org/drawingml/2006/main">
              <a:srgbClr val="EF4444"/>
            </a:solidFill>
            <a:ln xmlns:a="http://schemas.openxmlformats.org/drawingml/2006/main">
              <a:noFill/>
              <a:prstDash val="solid"/>
            </a:ln>
          </spPr>
          <invertIfNegative val="0"/>
          <cat>
            <numRef>
              <f>'q_time_block'!$A$2:$A$3</f>
            </numRef>
          </cat>
          <val>
            <numRef>
              <f>'q_time_block'!$B$2:$B$3</f>
            </numRef>
          </val>
        </ser>
        <ser>
          <idx val="1"/>
          <order val="1"/>
          <tx>
            <strRef>
              <f>'q_time_block'!C1</f>
            </strRef>
          </tx>
          <spPr>
            <a:solidFill xmlns:a="http://schemas.openxmlformats.org/drawingml/2006/main">
              <a:srgbClr val="F59E0B"/>
            </a:solidFill>
            <a:ln xmlns:a="http://schemas.openxmlformats.org/drawingml/2006/main">
              <a:noFill/>
              <a:prstDash val="solid"/>
            </a:ln>
          </spPr>
          <invertIfNegative val="0"/>
          <cat>
            <numRef>
              <f>'q_time_block'!$A$2:$A$3</f>
            </numRef>
          </cat>
          <val>
            <numRef>
              <f>'q_time_block'!$C$2:$C$3</f>
            </numRef>
          </val>
        </ser>
        <gapWidth val="60"/>
        <axId val="10"/>
        <axId val="100"/>
      </barChart>
      <catAx>
        <axId val="10"/>
        <scaling>
          <orientation val="minMax"/>
        </scaling>
        <axPos val="l"/>
        <majorTickMark val="none"/>
        <minorTickMark val="none"/>
        <crossAx val="100"/>
        <crosses val="autoZero"/>
        <lblOffset val="100"/>
      </catAx>
      <valAx>
        <axId val="100"/>
        <scaling>
          <orientation val="minMax"/>
          <min val="0"/>
        </scaling>
        <axPos val="l"/>
        <majorGridlines/>
        <majorTickMark val="none"/>
        <minorTickMark val="none"/>
        <crossAx val="10"/>
        <crosses val="autoZero"/>
      </valAx>
    </plotArea>
    <legend>
      <legendPos val="b"/>
      <overlay val="0"/>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s>
</file>

<file path=xl/drawings/drawing1.xml><?xml version="1.0" encoding="utf-8"?>
<wsDr xmlns="http://schemas.openxmlformats.org/drawingml/2006/spreadsheetDrawing">
  <oneCellAnchor>
    <from>
      <col>1</col>
      <colOff>0</colOff>
      <row>17</row>
      <rowOff>0</rowOff>
    </from>
    <ext cx="8640000" cy="338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col>
      <colOff>0</colOff>
      <row>38</row>
      <rowOff>0</rowOff>
    </from>
    <ext cx="8640000" cy="3384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59</row>
      <rowOff>0</rowOff>
    </from>
    <ext cx="8640000" cy="3384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col>
      <colOff>0</colOff>
      <row>80</row>
      <rowOff>0</rowOff>
    </from>
    <ext cx="8640000" cy="3384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1</col>
      <colOff>0</colOff>
      <row>101</row>
      <rowOff>0</rowOff>
    </from>
    <ext cx="8640000" cy="3384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1</col>
      <colOff>0</colOff>
      <row>122</row>
      <rowOff>0</rowOff>
    </from>
    <ext cx="8640000" cy="3384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1</col>
      <colOff>0</colOff>
      <row>143</row>
      <rowOff>0</rowOff>
    </from>
    <ext cx="8640000" cy="3384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1</col>
      <colOff>0</colOff>
      <row>164</row>
      <rowOff>0</rowOff>
    </from>
    <ext cx="8640000" cy="3384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3B82F6"/>
    <outlinePr summaryBelow="1" summaryRight="1"/>
    <pageSetUpPr fitToPage="1"/>
  </sheetPr>
  <dimension ref="A1:X201"/>
  <sheetViews>
    <sheetView showGridLines="0" workbookViewId="0">
      <selection activeCell="A1" sqref="A1"/>
    </sheetView>
  </sheetViews>
  <sheetFormatPr baseColWidth="8" defaultRowHeight="15"/>
  <cols>
    <col width="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s>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row>
    <row r="2" ht="30" customHeight="1">
      <c r="A2" s="1" t="n"/>
      <c r="B2" s="2" t="inlineStr">
        <is>
          <t>Capacity to Deadline Optimizer</t>
        </is>
      </c>
      <c r="C2" s="1" t="n"/>
      <c r="D2" s="1" t="n"/>
      <c r="E2" s="1" t="n"/>
      <c r="F2" s="1" t="n"/>
      <c r="G2" s="1" t="n"/>
      <c r="H2" s="1" t="n"/>
      <c r="I2" s="1" t="n"/>
      <c r="J2" s="1" t="n"/>
      <c r="K2" s="1" t="n"/>
      <c r="L2" s="1" t="n"/>
      <c r="M2" s="1" t="n"/>
      <c r="N2" s="1" t="n"/>
      <c r="O2" s="1" t="n"/>
      <c r="P2" s="1" t="n"/>
      <c r="Q2" s="1" t="n"/>
      <c r="R2" s="1" t="n"/>
      <c r="S2" s="1" t="n"/>
      <c r="T2" s="1" t="n"/>
      <c r="U2" s="1" t="n"/>
      <c r="V2" s="1" t="n"/>
      <c r="W2" s="1" t="n"/>
      <c r="X2" s="1" t="n"/>
    </row>
    <row r="3" ht="14" customHeight="1">
      <c r="A3" s="1" t="n"/>
      <c r="B3" s="3" t="inlineStr">
        <is>
          <t>Frontier Specialty Care Network (fictional) · 13,951 appointments and 1,786 waitlist entries · 6 months. Average lead time is 29.8 days and only 59.1% of appointments meet their specialty's access standard. Meanwhile 2,087 booked slots went unused through cancellation and no-show, and 507 of them were cancelled early enough to refill.</t>
        </is>
      </c>
      <c r="C3" s="1" t="n"/>
      <c r="D3" s="1" t="n"/>
      <c r="E3" s="1" t="n"/>
      <c r="F3" s="1" t="n"/>
      <c r="G3" s="1" t="n"/>
      <c r="H3" s="1" t="n"/>
      <c r="I3" s="1" t="n"/>
      <c r="J3" s="1" t="n"/>
      <c r="K3" s="1" t="n"/>
      <c r="L3" s="1" t="n"/>
      <c r="M3" s="1" t="n"/>
      <c r="N3" s="1" t="n"/>
      <c r="O3" s="1" t="n"/>
      <c r="P3" s="1" t="n"/>
      <c r="Q3" s="1" t="n"/>
      <c r="R3" s="1" t="n"/>
      <c r="S3" s="1" t="n"/>
      <c r="T3" s="1" t="n"/>
      <c r="U3" s="1" t="n"/>
      <c r="V3" s="1" t="n"/>
      <c r="W3" s="1" t="n"/>
      <c r="X3" s="1" t="n"/>
    </row>
    <row r="4" ht="14" customHeight="1">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row>
    <row r="5" ht="14" customHeight="1">
      <c r="A5" s="1" t="n"/>
      <c r="B5" s="1" t="n"/>
      <c r="C5" s="1" t="n"/>
      <c r="D5" s="1" t="n"/>
      <c r="E5" s="1" t="n"/>
      <c r="F5" s="1" t="n"/>
      <c r="G5" s="1" t="n"/>
      <c r="H5" s="1" t="n"/>
      <c r="I5" s="1" t="n"/>
      <c r="J5" s="1" t="n"/>
      <c r="K5" s="1" t="n"/>
      <c r="L5" s="1" t="n"/>
      <c r="M5" s="1" t="n"/>
      <c r="N5" s="1" t="n"/>
      <c r="O5" s="1" t="n"/>
      <c r="P5" s="1" t="n"/>
      <c r="Q5" s="1" t="n"/>
      <c r="R5" s="1" t="n"/>
      <c r="S5" s="1" t="n"/>
      <c r="T5" s="1" t="n"/>
      <c r="U5" s="1" t="n"/>
      <c r="V5" s="1" t="n"/>
      <c r="W5" s="1" t="n"/>
      <c r="X5" s="1" t="n"/>
    </row>
    <row r="6">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row>
    <row r="7" ht="12" customHeight="1">
      <c r="A7" s="1" t="n"/>
      <c r="B7" s="4" t="inlineStr">
        <is>
          <t>APPOINTMENTS</t>
        </is>
      </c>
      <c r="C7" s="5" t="n"/>
      <c r="D7" s="5" t="n"/>
      <c r="E7" s="5" t="n"/>
      <c r="F7" s="5" t="n"/>
      <c r="G7" s="4" t="inlineStr">
        <is>
          <t>AVG LEAD TIME</t>
        </is>
      </c>
      <c r="H7" s="5" t="n"/>
      <c r="I7" s="5" t="n"/>
      <c r="J7" s="5" t="n"/>
      <c r="K7" s="5" t="n"/>
      <c r="L7" s="4" t="inlineStr">
        <is>
          <t>WITHIN ACCESS STANDARD</t>
        </is>
      </c>
      <c r="M7" s="5" t="n"/>
      <c r="N7" s="5" t="n"/>
      <c r="O7" s="5" t="n"/>
      <c r="P7" s="5" t="n"/>
      <c r="Q7" s="4" t="inlineStr">
        <is>
          <t>NO-SHOW RATE</t>
        </is>
      </c>
      <c r="R7" s="5" t="n"/>
      <c r="S7" s="5" t="n"/>
      <c r="T7" s="5" t="n"/>
      <c r="U7" s="5" t="n"/>
      <c r="V7" s="1" t="n"/>
      <c r="W7" s="1" t="n"/>
      <c r="X7" s="1" t="n"/>
    </row>
    <row r="8" ht="22" customHeight="1">
      <c r="A8" s="1" t="n"/>
      <c r="B8" s="6" t="inlineStr">
        <is>
          <t>13,951</t>
        </is>
      </c>
      <c r="C8" s="5" t="n"/>
      <c r="D8" s="5" t="n"/>
      <c r="E8" s="5" t="n"/>
      <c r="F8" s="5" t="n"/>
      <c r="G8" s="7" t="inlineStr">
        <is>
          <t>29.8d</t>
        </is>
      </c>
      <c r="H8" s="5" t="n"/>
      <c r="I8" s="5" t="n"/>
      <c r="J8" s="5" t="n"/>
      <c r="K8" s="5" t="n"/>
      <c r="L8" s="8" t="inlineStr">
        <is>
          <t>59.14%</t>
        </is>
      </c>
      <c r="M8" s="5" t="n"/>
      <c r="N8" s="5" t="n"/>
      <c r="O8" s="5" t="n"/>
      <c r="P8" s="5" t="n"/>
      <c r="Q8" s="7" t="inlineStr">
        <is>
          <t>8.15%</t>
        </is>
      </c>
      <c r="R8" s="5" t="n"/>
      <c r="S8" s="5" t="n"/>
      <c r="T8" s="5" t="n"/>
      <c r="U8" s="5" t="n"/>
      <c r="V8" s="1" t="n"/>
      <c r="W8" s="1" t="n"/>
      <c r="X8" s="1" t="n"/>
    </row>
    <row r="9" ht="12" customHeight="1">
      <c r="A9" s="1" t="n"/>
      <c r="B9" s="9" t="inlineStr"/>
      <c r="C9" s="5" t="n"/>
      <c r="D9" s="5" t="n"/>
      <c r="E9" s="5" t="n"/>
      <c r="F9" s="5" t="n"/>
      <c r="G9" s="9" t="inlineStr"/>
      <c r="H9" s="5" t="n"/>
      <c r="I9" s="5" t="n"/>
      <c r="J9" s="5" t="n"/>
      <c r="K9" s="5" t="n"/>
      <c r="L9" s="9" t="inlineStr">
        <is>
          <t>Each specialty against its own target</t>
        </is>
      </c>
      <c r="M9" s="5" t="n"/>
      <c r="N9" s="5" t="n"/>
      <c r="O9" s="5" t="n"/>
      <c r="P9" s="5" t="n"/>
      <c r="Q9" s="9" t="inlineStr">
        <is>
          <t>5.27% with a reminder, 15.68% without</t>
        </is>
      </c>
      <c r="R9" s="5" t="n"/>
      <c r="S9" s="5" t="n"/>
      <c r="T9" s="5" t="n"/>
      <c r="U9" s="5" t="n"/>
      <c r="V9" s="1" t="n"/>
      <c r="W9" s="1" t="n"/>
      <c r="X9" s="1" t="n"/>
    </row>
    <row r="10" ht="12" customHeight="1">
      <c r="A10" s="1" t="n"/>
      <c r="B10" s="5" t="n"/>
      <c r="C10" s="5" t="n"/>
      <c r="D10" s="5" t="n"/>
      <c r="E10" s="5" t="n"/>
      <c r="F10" s="5" t="n"/>
      <c r="G10" s="5" t="n"/>
      <c r="H10" s="5" t="n"/>
      <c r="I10" s="5" t="n"/>
      <c r="J10" s="5" t="n"/>
      <c r="K10" s="5" t="n"/>
      <c r="L10" s="5" t="n"/>
      <c r="M10" s="5" t="n"/>
      <c r="N10" s="5" t="n"/>
      <c r="O10" s="5" t="n"/>
      <c r="P10" s="5" t="n"/>
      <c r="Q10" s="5" t="n"/>
      <c r="R10" s="5" t="n"/>
      <c r="S10" s="5" t="n"/>
      <c r="T10" s="5" t="n"/>
      <c r="U10" s="5" t="n"/>
      <c r="V10" s="1" t="n"/>
      <c r="W10" s="1" t="n"/>
      <c r="X10" s="1" t="n"/>
    </row>
    <row r="11">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row>
    <row r="12" ht="12" customHeight="1">
      <c r="A12" s="1" t="n"/>
      <c r="B12" s="4" t="inlineStr">
        <is>
          <t>CANCELLATION RATE</t>
        </is>
      </c>
      <c r="C12" s="5" t="n"/>
      <c r="D12" s="5" t="n"/>
      <c r="E12" s="5" t="n"/>
      <c r="F12" s="5" t="n"/>
      <c r="G12" s="4" t="inlineStr">
        <is>
          <t>SLOTS LOST</t>
        </is>
      </c>
      <c r="H12" s="5" t="n"/>
      <c r="I12" s="5" t="n"/>
      <c r="J12" s="5" t="n"/>
      <c r="K12" s="5" t="n"/>
      <c r="L12" s="4" t="inlineStr">
        <is>
          <t>REFILLABLE CANCELLATIONS</t>
        </is>
      </c>
      <c r="M12" s="5" t="n"/>
      <c r="N12" s="5" t="n"/>
      <c r="O12" s="5" t="n"/>
      <c r="P12" s="5" t="n"/>
      <c r="Q12" s="4" t="inlineStr">
        <is>
          <t>WAITLIST PAST REQUESTED-BY</t>
        </is>
      </c>
      <c r="R12" s="5" t="n"/>
      <c r="S12" s="5" t="n"/>
      <c r="T12" s="5" t="n"/>
      <c r="U12" s="5" t="n"/>
      <c r="V12" s="1" t="n"/>
      <c r="W12" s="1" t="n"/>
      <c r="X12" s="1" t="n"/>
    </row>
    <row r="13" ht="22" customHeight="1">
      <c r="A13" s="1" t="n"/>
      <c r="B13" s="6" t="inlineStr">
        <is>
          <t>8.98%</t>
        </is>
      </c>
      <c r="C13" s="5" t="n"/>
      <c r="D13" s="5" t="n"/>
      <c r="E13" s="5" t="n"/>
      <c r="F13" s="5" t="n"/>
      <c r="G13" s="8" t="inlineStr">
        <is>
          <t>2,087</t>
        </is>
      </c>
      <c r="H13" s="5" t="n"/>
      <c r="I13" s="5" t="n"/>
      <c r="J13" s="5" t="n"/>
      <c r="K13" s="5" t="n"/>
      <c r="L13" s="10" t="inlineStr">
        <is>
          <t>507</t>
        </is>
      </c>
      <c r="M13" s="5" t="n"/>
      <c r="N13" s="5" t="n"/>
      <c r="O13" s="5" t="n"/>
      <c r="P13" s="5" t="n"/>
      <c r="Q13" s="8" t="inlineStr">
        <is>
          <t>946</t>
        </is>
      </c>
      <c r="R13" s="5" t="n"/>
      <c r="S13" s="5" t="n"/>
      <c r="T13" s="5" t="n"/>
      <c r="U13" s="5" t="n"/>
      <c r="V13" s="1" t="n"/>
      <c r="W13" s="1" t="n"/>
      <c r="X13" s="1" t="n"/>
    </row>
    <row r="14" ht="12" customHeight="1">
      <c r="A14" s="1" t="n"/>
      <c r="B14" s="9" t="inlineStr"/>
      <c r="C14" s="5" t="n"/>
      <c r="D14" s="5" t="n"/>
      <c r="E14" s="5" t="n"/>
      <c r="F14" s="5" t="n"/>
      <c r="G14" s="9" t="inlineStr">
        <is>
          <t>Cancellations plus no-shows</t>
        </is>
      </c>
      <c r="H14" s="5" t="n"/>
      <c r="I14" s="5" t="n"/>
      <c r="J14" s="5" t="n"/>
      <c r="K14" s="5" t="n"/>
      <c r="L14" s="9" t="inlineStr">
        <is>
          <t>Enough notice to offer the slot on</t>
        </is>
      </c>
      <c r="M14" s="5" t="n"/>
      <c r="N14" s="5" t="n"/>
      <c r="O14" s="5" t="n"/>
      <c r="P14" s="5" t="n"/>
      <c r="Q14" s="9" t="inlineStr">
        <is>
          <t>53.0% of the waitlist</t>
        </is>
      </c>
      <c r="R14" s="5" t="n"/>
      <c r="S14" s="5" t="n"/>
      <c r="T14" s="5" t="n"/>
      <c r="U14" s="5" t="n"/>
      <c r="V14" s="1" t="n"/>
      <c r="W14" s="1" t="n"/>
      <c r="X14" s="1" t="n"/>
    </row>
    <row r="15" ht="12" customHeight="1">
      <c r="A15" s="1" t="n"/>
      <c r="B15" s="5" t="n"/>
      <c r="C15" s="5" t="n"/>
      <c r="D15" s="5" t="n"/>
      <c r="E15" s="5" t="n"/>
      <c r="F15" s="5" t="n"/>
      <c r="G15" s="5" t="n"/>
      <c r="H15" s="5" t="n"/>
      <c r="I15" s="5" t="n"/>
      <c r="J15" s="5" t="n"/>
      <c r="K15" s="5" t="n"/>
      <c r="L15" s="5" t="n"/>
      <c r="M15" s="5" t="n"/>
      <c r="N15" s="5" t="n"/>
      <c r="O15" s="5" t="n"/>
      <c r="P15" s="5" t="n"/>
      <c r="Q15" s="5" t="n"/>
      <c r="R15" s="5" t="n"/>
      <c r="S15" s="5" t="n"/>
      <c r="T15" s="5" t="n"/>
      <c r="U15" s="5" t="n"/>
      <c r="V15" s="1" t="n"/>
      <c r="W15" s="1" t="n"/>
      <c r="X15" s="1" t="n"/>
    </row>
    <row r="16">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row>
    <row r="17">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row>
    <row r="18">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row>
    <row r="1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row>
    <row r="20">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row>
    <row r="21">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row>
    <row r="22">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row>
    <row r="23">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row>
    <row r="24">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row>
    <row r="25">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row>
    <row r="26">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row>
    <row r="27">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row>
    <row r="28">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row>
    <row r="2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row>
    <row r="30">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row>
    <row r="3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row>
    <row r="32">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row>
    <row r="33">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row>
    <row r="34">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row>
    <row r="35">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row>
    <row r="36">
      <c r="A36" s="1" t="n"/>
      <c r="B36" s="11" t="inlineStr">
        <is>
          <t>Bars are average lead time, the grey bar is the target that specialty is held to. Two specialties are inside their target and still generate complaints, because the average hides the tail.</t>
        </is>
      </c>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row>
    <row r="37">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row>
    <row r="3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row>
    <row r="3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row>
    <row r="40">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row>
    <row r="4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row>
    <row r="42">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row>
    <row r="43">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row>
    <row r="44">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row>
    <row r="45">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row>
    <row r="46">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row>
    <row r="47">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row>
    <row r="4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row>
    <row r="4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row>
    <row r="50">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row>
    <row r="5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row>
    <row r="52">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row>
    <row r="53">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row>
    <row r="5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row>
    <row r="55">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row>
    <row r="56">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row>
    <row r="57">
      <c r="A57" s="1" t="n"/>
      <c r="B57" s="11" t="inlineStr">
        <is>
          <t>Every booked slot in the period. The Cancelled and No Show wedges are the capacity the fill model is trying to recover.</t>
        </is>
      </c>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row>
    <row r="5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row>
    <row r="5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row>
    <row r="60">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row>
    <row r="6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row>
    <row r="6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row>
    <row r="63">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row>
    <row r="6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row>
    <row r="65">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row>
    <row r="66">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row>
    <row r="67">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row>
    <row r="6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row>
    <row r="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row>
    <row r="70">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row>
    <row r="7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row>
    <row r="72">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row>
    <row r="73">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row>
    <row r="7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row>
    <row r="75">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row>
    <row r="76">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row>
    <row r="7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row>
    <row r="78">
      <c r="A78" s="1" t="n"/>
      <c r="B78" s="11" t="inlineStr">
        <is>
          <t>Worst first, against the blended 59.14% reported to the board.</t>
        </is>
      </c>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row>
    <row r="7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row>
    <row r="80">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row>
    <row r="8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row>
    <row r="8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row>
    <row r="83">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row>
    <row r="8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row>
    <row r="85">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row>
    <row r="86">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row>
    <row r="87">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row>
    <row r="8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row>
    <row r="8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row>
    <row r="90">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row>
    <row r="9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row>
    <row r="9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row>
    <row r="93">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row>
    <row r="9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row>
    <row r="95">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row>
    <row r="96">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row>
    <row r="9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row>
    <row r="9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row>
    <row r="99">
      <c r="A99" s="1" t="n"/>
      <c r="B99" s="11" t="inlineStr">
        <is>
          <t>The largest single effect on this page: no-shows are roughly three times higher without a reminder. Reminders are not randomly assigned here, so this is an association in the generated data, not a measured treatment effect.</t>
        </is>
      </c>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row>
    <row r="100">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row>
    <row r="10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row>
    <row r="10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row>
    <row r="103">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row>
    <row r="10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row>
    <row r="105">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row>
    <row r="106">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row>
    <row r="10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row>
    <row r="10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row>
    <row r="10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row>
    <row r="110">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row>
    <row r="11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row>
    <row r="11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row>
    <row r="113">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row>
    <row r="11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row>
    <row r="115">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row>
    <row r="116">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row>
    <row r="11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row>
    <row r="11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row>
    <row r="11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row>
    <row r="120">
      <c r="A120" s="1" t="n"/>
      <c r="B120" s="11" t="inlineStr">
        <is>
          <t>No-show rate more than doubles from the shortest to the longest lead-time band. Access delay and attendance are the same problem, which means fixing lead time pays twice.</t>
        </is>
      </c>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row>
    <row r="12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row>
    <row r="12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row>
    <row r="123">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row>
    <row r="12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row>
    <row r="125">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row>
    <row r="126">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row>
    <row r="12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row>
    <row r="12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row>
    <row r="1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row>
    <row r="13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row>
    <row r="13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row>
    <row r="13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row>
    <row r="133">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row>
    <row r="13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row>
    <row r="13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row>
    <row r="136">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row>
    <row r="13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row>
    <row r="13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row>
    <row r="13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row>
    <row r="14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row>
    <row r="141">
      <c r="A141" s="1" t="n"/>
      <c r="B141" s="11" t="inlineStr">
        <is>
          <t>Three modelled refill rates against the 507 cancellations with enough notice. Even the optimistic scenario recovers under 4% of completed volume — worth doing, and not the answer to a 29.8-day lead time. Reporting the ceiling honestly is the point of the exercise.</t>
        </is>
      </c>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row>
    <row r="14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row>
    <row r="143">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row>
    <row r="14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row>
    <row r="14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row>
    <row r="146">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row>
    <row r="14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row>
    <row r="14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row>
    <row r="14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row>
    <row r="15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row>
    <row r="15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row>
    <row r="15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row>
    <row r="153">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row>
    <row r="15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row>
    <row r="15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row>
    <row r="156">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row>
    <row r="15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row>
    <row r="15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row>
    <row r="15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row>
    <row r="16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row>
    <row r="16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row>
    <row r="162">
      <c r="A162" s="1" t="n"/>
      <c r="B162" s="11" t="inlineStr">
        <is>
          <t>Hour of the scheduled appointment. Useful for deciding where to put the slots most likely to be wasted, and for deciding which blocks to over-book.</t>
        </is>
      </c>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row>
    <row r="163">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row>
    <row r="16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row>
    <row r="165">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row>
    <row r="166">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row>
    <row r="16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row>
    <row r="16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row>
    <row r="1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row>
    <row r="17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row>
    <row r="17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row>
    <row r="17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row>
    <row r="173">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row>
    <row r="17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row>
    <row r="17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row>
    <row r="176">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row>
    <row r="17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row>
    <row r="17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row>
    <row r="17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row>
    <row r="18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row>
    <row r="18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row>
    <row r="18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row>
    <row r="183">
      <c r="A183" s="1" t="n"/>
      <c r="B183" s="11" t="inlineStr">
        <is>
          <t>The same effect aggregated into the blocks schedulers actually work with.</t>
        </is>
      </c>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row>
    <row r="18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row>
    <row r="185">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row>
    <row r="186" ht="16" customHeight="1">
      <c r="A186" s="1" t="n"/>
      <c r="B186" s="12" t="inlineStr">
        <is>
          <t>How this workbook is built</t>
        </is>
      </c>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row>
    <row r="187" ht="14" customHeight="1">
      <c r="A187" s="1" t="n"/>
      <c r="B187" s="13" t="inlineStr">
        <is>
          <t>Every figure here is produced by a SQL query stored in dashboard/dashboard_config.json and run against data/scheduling.db by src/build_bi_assets.py. The q_* sheets are the raw query output; the charts on this sheet read those sheets directly, so the workbook cannot drift away from the analysis in sql/. Rebuild with: python src/load_sqlite.py &amp;&amp; python src/build_bi_assets.py</t>
        </is>
      </c>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row>
    <row r="188" ht="14" customHeight="1">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row>
    <row r="189" ht="14" customHeight="1">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row>
    <row r="19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row>
    <row r="191" ht="16" customHeight="1">
      <c r="A191" s="1" t="n"/>
      <c r="B191" s="12" t="inlineStr">
        <is>
          <t>Limitations</t>
        </is>
      </c>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row>
    <row r="192" ht="14" customHeight="1">
      <c r="A192" s="1" t="n"/>
      <c r="B192" s="13" t="inlineStr">
        <is>
          <t>The fill simulation applies a flat refill rate to cancellations with enough notice; it assumes a matching patient is reachable and willing, which is the assumption most likely to break in practice. Waitlist match score weights are judgement, not fitted to acceptance outcomes. Lead time is calendar days from request to appointment and ignores patient-driven delay, so some of it is preference rather than access failure. The data is fully synthetic.</t>
        </is>
      </c>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row>
    <row r="193" ht="14" customHeight="1">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row>
    <row r="194" ht="14" customHeight="1">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row>
    <row r="195" ht="14" customHeight="1">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row>
    <row r="196">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row>
    <row r="197" ht="13" customHeight="1">
      <c r="A197" s="1" t="n"/>
      <c r="B197" s="14" t="inlineStr">
        <is>
          <t>Source: synthetic data generated by src/generate_data.py, seed 5150. No employer data, patient information, protected health information or confidential business information is used. Patient_Group is a synthetic cohort label, not a person.</t>
        </is>
      </c>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row>
    <row r="198" ht="13" customHeight="1">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row>
    <row r="199" ht="13" customHeight="1">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row>
    <row r="20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row>
    <row r="20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row>
  </sheetData>
  <mergeCells count="39">
    <mergeCell ref="Q7:U7"/>
    <mergeCell ref="Q9:U10"/>
    <mergeCell ref="B7:F7"/>
    <mergeCell ref="B36:V37"/>
    <mergeCell ref="B2:V2"/>
    <mergeCell ref="G12:K12"/>
    <mergeCell ref="Q12:U12"/>
    <mergeCell ref="L7:P7"/>
    <mergeCell ref="B99:V100"/>
    <mergeCell ref="B183:V184"/>
    <mergeCell ref="G14:K15"/>
    <mergeCell ref="L13:P13"/>
    <mergeCell ref="G8:K8"/>
    <mergeCell ref="B141:V142"/>
    <mergeCell ref="B192:V195"/>
    <mergeCell ref="B9:F10"/>
    <mergeCell ref="Q8:U8"/>
    <mergeCell ref="B12:F12"/>
    <mergeCell ref="L12:P12"/>
    <mergeCell ref="G7:K7"/>
    <mergeCell ref="L9:P10"/>
    <mergeCell ref="B191:V191"/>
    <mergeCell ref="B186:V186"/>
    <mergeCell ref="G13:K13"/>
    <mergeCell ref="B8:F8"/>
    <mergeCell ref="B13:F13"/>
    <mergeCell ref="L8:P8"/>
    <mergeCell ref="G9:K10"/>
    <mergeCell ref="B187:V189"/>
    <mergeCell ref="B120:V121"/>
    <mergeCell ref="Q14:U15"/>
    <mergeCell ref="B57:V58"/>
    <mergeCell ref="B197:V199"/>
    <mergeCell ref="B78:V79"/>
    <mergeCell ref="B3:V5"/>
    <mergeCell ref="L14:P15"/>
    <mergeCell ref="B14:F15"/>
    <mergeCell ref="B162:V163"/>
    <mergeCell ref="Q13:U13"/>
  </mergeCells>
  <pageMargins left="0.75" right="0.75" top="1" bottom="1"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30" customWidth="1" min="1" max="1"/>
    <col width="17" customWidth="1" min="2" max="2"/>
    <col width="17" customWidth="1" min="3" max="3"/>
  </cols>
  <sheetData>
    <row r="1">
      <c r="A1" s="15" t="inlineStr">
        <is>
          <t>Specialty</t>
        </is>
      </c>
      <c r="B1" s="15" t="inlineStr">
        <is>
          <t>Avg lead time (days)</t>
        </is>
      </c>
      <c r="C1" s="15" t="inlineStr">
        <is>
          <t>Target lead time (days)</t>
        </is>
      </c>
    </row>
    <row r="2">
      <c r="A2" t="inlineStr">
        <is>
          <t>Orthopedics</t>
        </is>
      </c>
      <c r="B2" t="n">
        <v>20</v>
      </c>
      <c r="C2" t="n">
        <v>19</v>
      </c>
    </row>
    <row r="3">
      <c r="A3" t="inlineStr">
        <is>
          <t>Cardiology</t>
        </is>
      </c>
      <c r="B3" t="n">
        <v>25.5</v>
      </c>
      <c r="C3" t="n">
        <v>24</v>
      </c>
    </row>
    <row r="4">
      <c r="A4" t="inlineStr">
        <is>
          <t>Gastroenterology</t>
        </is>
      </c>
      <c r="B4" t="n">
        <v>30.6</v>
      </c>
      <c r="C4" t="n">
        <v>29</v>
      </c>
    </row>
    <row r="5">
      <c r="A5" t="inlineStr">
        <is>
          <t>Pulmonology</t>
        </is>
      </c>
      <c r="B5" t="n">
        <v>26.9</v>
      </c>
      <c r="C5" t="n">
        <v>26</v>
      </c>
    </row>
    <row r="6">
      <c r="A6" t="inlineStr">
        <is>
          <t>Endocrinology</t>
        </is>
      </c>
      <c r="B6" t="n">
        <v>39.1</v>
      </c>
      <c r="C6" t="n">
        <v>38</v>
      </c>
    </row>
    <row r="7">
      <c r="A7" t="inlineStr">
        <is>
          <t>Neurology</t>
        </is>
      </c>
      <c r="B7" t="n">
        <v>41.8</v>
      </c>
      <c r="C7" t="n">
        <v>41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7" customWidth="1" min="2" max="2"/>
  </cols>
  <sheetData>
    <row r="1">
      <c r="A1" s="15" t="inlineStr">
        <is>
          <t>Status</t>
        </is>
      </c>
      <c r="B1" s="15" t="inlineStr">
        <is>
          <t>Appointments</t>
        </is>
      </c>
    </row>
    <row r="2">
      <c r="A2" t="inlineStr">
        <is>
          <t>Completed</t>
        </is>
      </c>
      <c r="B2" t="n">
        <v>9400</v>
      </c>
    </row>
    <row r="3">
      <c r="A3" t="inlineStr">
        <is>
          <t>Scheduled</t>
        </is>
      </c>
      <c r="B3" t="n">
        <v>2464</v>
      </c>
    </row>
    <row r="4">
      <c r="A4" t="inlineStr">
        <is>
          <t>Cancelled</t>
        </is>
      </c>
      <c r="B4" t="n">
        <v>1253</v>
      </c>
    </row>
    <row r="5">
      <c r="A5" t="inlineStr">
        <is>
          <t>No Show</t>
        </is>
      </c>
      <c r="B5" t="n">
        <v>834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0" customWidth="1" min="1" max="1"/>
    <col width="17" customWidth="1" min="2" max="2"/>
  </cols>
  <sheetData>
    <row r="1">
      <c r="A1" s="15" t="inlineStr">
        <is>
          <t>Specialty</t>
        </is>
      </c>
      <c r="B1" s="15" t="inlineStr">
        <is>
          <t>Within standard %</t>
        </is>
      </c>
    </row>
    <row r="2">
      <c r="A2" t="inlineStr">
        <is>
          <t>Orthopedics</t>
        </is>
      </c>
      <c r="B2" t="n">
        <v>57.35</v>
      </c>
    </row>
    <row r="3">
      <c r="A3" t="inlineStr">
        <is>
          <t>Cardiology</t>
        </is>
      </c>
      <c r="B3" t="n">
        <v>58.08</v>
      </c>
    </row>
    <row r="4">
      <c r="A4" t="inlineStr">
        <is>
          <t>Gastroenterology</t>
        </is>
      </c>
      <c r="B4" t="n">
        <v>59.27</v>
      </c>
    </row>
    <row r="5">
      <c r="A5" t="inlineStr">
        <is>
          <t>Pulmonology</t>
        </is>
      </c>
      <c r="B5" t="n">
        <v>59.77</v>
      </c>
    </row>
    <row r="6">
      <c r="A6" t="inlineStr">
        <is>
          <t>Endocrinology</t>
        </is>
      </c>
      <c r="B6" t="n">
        <v>59.81</v>
      </c>
    </row>
    <row r="7">
      <c r="A7" t="inlineStr">
        <is>
          <t>Neurology</t>
        </is>
      </c>
      <c r="B7" t="n">
        <v>60.92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30" customWidth="1" min="1" max="1"/>
    <col width="17" customWidth="1" min="2" max="2"/>
  </cols>
  <sheetData>
    <row r="1">
      <c r="A1" s="15" t="inlineStr">
        <is>
          <t>bucket</t>
        </is>
      </c>
      <c r="B1" s="15" t="inlineStr">
        <is>
          <t>No-show rate %</t>
        </is>
      </c>
    </row>
    <row r="2">
      <c r="A2" t="inlineStr">
        <is>
          <t>Reminder sent</t>
        </is>
      </c>
      <c r="B2" t="n">
        <v>5.27</v>
      </c>
    </row>
    <row r="3">
      <c r="A3" t="inlineStr">
        <is>
          <t>No reminder</t>
        </is>
      </c>
      <c r="B3" t="n">
        <v>15.68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30" customWidth="1" min="1" max="1"/>
    <col width="17" customWidth="1" min="2" max="2"/>
    <col width="17" customWidth="1" min="3" max="3"/>
  </cols>
  <sheetData>
    <row r="1">
      <c r="A1" s="15" t="inlineStr">
        <is>
          <t>band</t>
        </is>
      </c>
      <c r="B1" s="15" t="inlineStr">
        <is>
          <t>No-show rate %</t>
        </is>
      </c>
      <c r="C1" s="15" t="inlineStr">
        <is>
          <t>Cancellation rate %</t>
        </is>
      </c>
    </row>
    <row r="2">
      <c r="A2" t="inlineStr">
        <is>
          <t>0-14 days</t>
        </is>
      </c>
      <c r="B2" t="n">
        <v>6.32</v>
      </c>
      <c r="C2" t="n">
        <v>9.359999999999999</v>
      </c>
    </row>
    <row r="3">
      <c r="A3" t="inlineStr">
        <is>
          <t>15-30 days</t>
        </is>
      </c>
      <c r="B3" t="n">
        <v>7.93</v>
      </c>
      <c r="C3" t="n">
        <v>9.779999999999999</v>
      </c>
    </row>
    <row r="4">
      <c r="A4" t="inlineStr">
        <is>
          <t>31-60 days</t>
        </is>
      </c>
      <c r="B4" t="n">
        <v>9.34</v>
      </c>
      <c r="C4" t="n">
        <v>8.33</v>
      </c>
    </row>
    <row r="5">
      <c r="A5" t="inlineStr">
        <is>
          <t>60+ days</t>
        </is>
      </c>
      <c r="B5" t="n">
        <v>13.79</v>
      </c>
      <c r="C5" t="n">
        <v>6.32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30" customWidth="1" min="1" max="1"/>
    <col width="17" customWidth="1" min="2" max="2"/>
    <col width="17" customWidth="1" min="3" max="3"/>
  </cols>
  <sheetData>
    <row r="1">
      <c r="A1" s="15" t="inlineStr">
        <is>
          <t>scenario</t>
        </is>
      </c>
      <c r="B1" s="15" t="inlineStr">
        <is>
          <t>Slots recovered</t>
        </is>
      </c>
      <c r="C1" s="15" t="inlineStr">
        <is>
          <t>% of completed volume</t>
        </is>
      </c>
    </row>
    <row r="2">
      <c r="A2" t="inlineStr">
        <is>
          <t>30% refill rate</t>
        </is>
      </c>
      <c r="B2" t="n">
        <v>152</v>
      </c>
      <c r="C2" t="n">
        <v>1.62</v>
      </c>
    </row>
    <row r="3">
      <c r="A3" t="inlineStr">
        <is>
          <t>50% refill rate</t>
        </is>
      </c>
      <c r="B3" t="n">
        <v>254</v>
      </c>
      <c r="C3" t="n">
        <v>2.7</v>
      </c>
    </row>
    <row r="4">
      <c r="A4" t="inlineStr">
        <is>
          <t>70% refill rate</t>
        </is>
      </c>
      <c r="B4" t="n">
        <v>355</v>
      </c>
      <c r="C4" t="n">
        <v>3.78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30" customWidth="1" min="1" max="1"/>
    <col width="17" customWidth="1" min="2" max="2"/>
  </cols>
  <sheetData>
    <row r="1">
      <c r="A1" s="15" t="inlineStr">
        <is>
          <t>hour</t>
        </is>
      </c>
      <c r="B1" s="15" t="inlineStr">
        <is>
          <t>No-show rate %</t>
        </is>
      </c>
    </row>
    <row r="2">
      <c r="A2" t="n">
        <v>8</v>
      </c>
      <c r="B2" t="n">
        <v>8.51</v>
      </c>
    </row>
    <row r="3">
      <c r="A3" t="n">
        <v>9</v>
      </c>
      <c r="B3" t="n">
        <v>7.39</v>
      </c>
    </row>
    <row r="4">
      <c r="A4" t="n">
        <v>10</v>
      </c>
      <c r="B4" t="n">
        <v>8.289999999999999</v>
      </c>
    </row>
    <row r="5">
      <c r="A5" t="n">
        <v>11</v>
      </c>
      <c r="B5" t="n">
        <v>9.640000000000001</v>
      </c>
    </row>
    <row r="6">
      <c r="A6" t="n">
        <v>13</v>
      </c>
      <c r="B6" t="n">
        <v>8.529999999999999</v>
      </c>
    </row>
    <row r="7">
      <c r="A7" t="n">
        <v>14</v>
      </c>
      <c r="B7" t="n">
        <v>7.3</v>
      </c>
    </row>
    <row r="8">
      <c r="A8" t="n">
        <v>15</v>
      </c>
      <c r="B8" t="n">
        <v>7.19</v>
      </c>
    </row>
    <row r="9">
      <c r="A9" t="n">
        <v>16</v>
      </c>
      <c r="B9" t="n">
        <v>8.43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30" customWidth="1" min="1" max="1"/>
    <col width="17" customWidth="1" min="2" max="2"/>
    <col width="17" customWidth="1" min="3" max="3"/>
  </cols>
  <sheetData>
    <row r="1">
      <c r="A1" s="15" t="inlineStr">
        <is>
          <t>Time_Block</t>
        </is>
      </c>
      <c r="B1" s="15" t="inlineStr">
        <is>
          <t>No-show rate %</t>
        </is>
      </c>
      <c r="C1" s="15" t="inlineStr">
        <is>
          <t>Cancellation rate %</t>
        </is>
      </c>
    </row>
    <row r="2">
      <c r="A2" t="inlineStr">
        <is>
          <t>Morning</t>
        </is>
      </c>
      <c r="B2" t="n">
        <v>8.390000000000001</v>
      </c>
      <c r="C2" t="n">
        <v>9.02</v>
      </c>
    </row>
    <row r="3">
      <c r="A3" t="inlineStr">
        <is>
          <t>Afternoon</t>
        </is>
      </c>
      <c r="B3" t="n">
        <v>7.83</v>
      </c>
      <c r="C3" t="n">
        <v>8.93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2026-09-23T23:49:52Z</dcterms:created>
  <dcterms:modified xmlns:dcterms="http://purl.org/dc/terms/" xmlns:xsi="http://www.w3.org/2001/XMLSchema-instance" xsi:type="dcterms:W3CDTF">2026-09-23T23:49:52Z</dcterms:modified>
</cp:coreProperties>
</file>